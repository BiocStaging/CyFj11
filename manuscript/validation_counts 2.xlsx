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System/Volumes/Data/pasteur/helix/projects/scBiomarkers/bernd/cytometry/CyFj11/manuscript/"/>
    </mc:Choice>
  </mc:AlternateContent>
  <xr:revisionPtr revIDLastSave="0" documentId="13_ncr:1_{D8900D7E-310A-1B42-8E12-492F214DDEAF}" xr6:coauthVersionLast="47" xr6:coauthVersionMax="47" xr10:uidLastSave="{00000000-0000-0000-0000-000000000000}"/>
  <bookViews>
    <workbookView xWindow="51200" yWindow="0" windowWidth="19080" windowHeight="21600" xr2:uid="{00000000-000D-0000-FFFF-FFFF00000000}"/>
  </bookViews>
  <sheets>
    <sheet name="Sheet 1 - validation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2" i="1" l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91" i="1"/>
  <c r="L105" i="1" a="1"/>
  <c r="K105" i="1" a="1"/>
  <c r="L104" i="1" a="1"/>
  <c r="K104" i="1" a="1"/>
  <c r="L103" i="1" a="1"/>
  <c r="K103" i="1" a="1"/>
  <c r="L102" i="1" a="1"/>
  <c r="K102" i="1" a="1"/>
  <c r="L101" i="1" a="1"/>
  <c r="K101" i="1" a="1"/>
  <c r="L100" i="1" a="1"/>
  <c r="K100" i="1" a="1"/>
  <c r="L99" i="1" a="1"/>
  <c r="K99" i="1" a="1"/>
  <c r="L98" i="1" a="1"/>
  <c r="K98" i="1" a="1"/>
  <c r="L97" i="1" a="1"/>
  <c r="K97" i="1" a="1"/>
  <c r="L96" i="1" a="1"/>
  <c r="K96" i="1" a="1"/>
  <c r="L95" i="1" a="1"/>
  <c r="K95" i="1" a="1"/>
  <c r="L94" i="1" a="1"/>
  <c r="K94" i="1" a="1"/>
  <c r="L93" i="1" a="1"/>
  <c r="K93" i="1" a="1"/>
  <c r="L92" i="1" a="1"/>
  <c r="K92" i="1" a="1"/>
  <c r="L91" i="1" a="1"/>
  <c r="K91" i="1" a="1"/>
  <c r="L90" i="1" a="1"/>
  <c r="K90" i="1" a="1"/>
  <c r="L89" i="1" a="1"/>
  <c r="K89" i="1" a="1"/>
  <c r="L88" i="1" a="1"/>
  <c r="K88" i="1" a="1"/>
  <c r="L87" i="1" a="1"/>
  <c r="K87" i="1" a="1"/>
  <c r="L86" i="1" a="1"/>
  <c r="K86" i="1" a="1"/>
  <c r="L85" i="1" a="1"/>
  <c r="K85" i="1" a="1"/>
  <c r="L84" i="1" a="1"/>
  <c r="K84" i="1" a="1"/>
  <c r="L83" i="1" a="1"/>
  <c r="K83" i="1" a="1"/>
  <c r="L82" i="1" a="1"/>
  <c r="K82" i="1" a="1"/>
  <c r="L79" i="1" a="1"/>
  <c r="K79" i="1" a="1"/>
  <c r="L78" i="1" a="1"/>
  <c r="K78" i="1" a="1"/>
  <c r="L77" i="1" a="1"/>
  <c r="K77" i="1" a="1"/>
  <c r="L76" i="1" a="1"/>
  <c r="K76" i="1" a="1"/>
  <c r="L75" i="1" a="1"/>
  <c r="K75" i="1" a="1"/>
  <c r="L74" i="1" a="1"/>
  <c r="K74" i="1" a="1"/>
  <c r="L73" i="1" a="1"/>
  <c r="K73" i="1" a="1"/>
  <c r="L69" i="1" a="1"/>
  <c r="K69" i="1" a="1"/>
  <c r="L68" i="1" a="1"/>
  <c r="K68" i="1" a="1"/>
  <c r="L67" i="1" a="1"/>
  <c r="K67" i="1" a="1"/>
  <c r="L66" i="1" a="1"/>
  <c r="K66" i="1" a="1"/>
  <c r="L65" i="1" a="1"/>
  <c r="K65" i="1" a="1"/>
  <c r="L64" i="1" a="1"/>
  <c r="K64" i="1" a="1"/>
  <c r="L61" i="1" a="1"/>
  <c r="K61" i="1" a="1"/>
  <c r="L60" i="1" a="1"/>
  <c r="K60" i="1" a="1"/>
  <c r="L59" i="1" a="1"/>
  <c r="K59" i="1" a="1"/>
  <c r="L58" i="1" a="1"/>
  <c r="K58" i="1" a="1"/>
  <c r="L57" i="1" a="1"/>
  <c r="K57" i="1" a="1"/>
  <c r="L53" i="1" a="1"/>
  <c r="K53" i="1" a="1"/>
  <c r="L52" i="1" a="1"/>
  <c r="K52" i="1" a="1"/>
  <c r="L49" i="1" a="1"/>
  <c r="K49" i="1" a="1"/>
  <c r="L46" i="1" a="1"/>
  <c r="K46" i="1" a="1"/>
  <c r="L42" i="1" a="1"/>
  <c r="K42" i="1" a="1"/>
  <c r="L39" i="1" a="1"/>
  <c r="K39" i="1" a="1"/>
  <c r="L36" i="1" a="1"/>
  <c r="K36" i="1" a="1"/>
  <c r="L33" i="1" a="1"/>
  <c r="K33" i="1" a="1"/>
  <c r="L30" i="1" a="1"/>
  <c r="K30" i="1" a="1"/>
  <c r="L27" i="1" a="1"/>
  <c r="K2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<sst xmlns="http://schemas.openxmlformats.org/spreadsheetml/2006/main" count="332" uniqueCount="191">
  <si>
    <t>validation_counts</t>
  </si>
  <si>
    <t># CyFj11 FlowJo Export Validation — Population Counts</t>
  </si>
  <si>
    <t># Instructions:</t>
  </si>
  <si>
    <t>#   Open each flowjo_export_tests/testNN/testNN_export.wsp in FlowJo 10 and FlowJo 11.</t>
  </si>
  <si>
    <t>#   Record the event count shown next to each population in the hierarchy panel.</t>
  </si>
  <si>
    <t>#   The "gate_name" column is the population name as it appears in FlowJo.</t>
  </si>
  <si>
    <t>#   The "channels" column shows which axes the gate lives on — use this to find</t>
  </si>
  <si>
    <t>#   the correct plot in FlowJo if needed.</t>
  </si>
  <si>
    <t>#   Leave fj10_count / fj11_count blank if a population is absent or WSP fails to open.</t>
  </si>
  <si>
    <t>#   diff columns are computed by the analysis script — leave blank.</t>
  </si>
  <si>
    <t>#   For tests 09–13: also export the full statistics table from FlowJo</t>
  </si>
  <si>
    <t>#   (File &gt; Export &gt; Statistics) and save as testNN_fj10_stats.csv / testNN_fj11_stats.csv</t>
  </si>
  <si>
    <t>#   next to this file.</t>
  </si>
  <si>
    <t>#</t>
  </si>
  <si>
    <t># gate_type abbreviations:</t>
  </si>
  <si>
    <t>#   rect1D   = 1D range gate (one channel)</t>
  </si>
  <si>
    <t>#   rect2D   = 2D rectangle gate (two channels)</t>
  </si>
  <si>
    <t>#   poly     = polygon gate</t>
  </si>
  <si>
    <t>#   ellipse  = ellipsoid gate</t>
  </si>
  <si>
    <t>#   bool:AND = boolean AND of named populations</t>
  </si>
  <si>
    <t>#   bool:OR  = boolean OR</t>
  </si>
  <si>
    <t>#   bool:NOT = boolean NOT</t>
  </si>
  <si>
    <t>test</t>
  </si>
  <si>
    <t>gate_name</t>
  </si>
  <si>
    <t>hierarchy</t>
  </si>
  <si>
    <t>gate_type</t>
  </si>
  <si>
    <t>channels</t>
  </si>
  <si>
    <t>r_count</t>
  </si>
  <si>
    <t>fj10_count</t>
  </si>
  <si>
    <t>fj11_count</t>
  </si>
  <si>
    <t>Read FJ11</t>
  </si>
  <si>
    <t>fj10_r_diff</t>
  </si>
  <si>
    <t>fj11_r_diff</t>
  </si>
  <si>
    <t>notes</t>
  </si>
  <si>
    <t># ── TEST 01: No gates, linear only ────────────────────────────────────────────</t>
  </si>
  <si>
    <t>test01</t>
  </si>
  <si>
    <t>All Events</t>
  </si>
  <si>
    <t>/All Events</t>
  </si>
  <si>
    <t>(root)</t>
  </si>
  <si>
    <t>—</t>
  </si>
  <si>
    <t># ── TEST 02: 1D rectangle, linear ─────────────────────────────────────────────</t>
  </si>
  <si>
    <t>test02</t>
  </si>
  <si>
    <t>FSC_filter</t>
  </si>
  <si>
    <t>/FSC_filter</t>
  </si>
  <si>
    <t>rect1D</t>
  </si>
  <si>
    <t>FSC-A</t>
  </si>
  <si>
    <t># ── TEST 03: 2D rectangle, linear ─────────────────────────────────────────────</t>
  </si>
  <si>
    <t>test03</t>
  </si>
  <si>
    <t>cells</t>
  </si>
  <si>
    <t>/cells</t>
  </si>
  <si>
    <t>rect2D</t>
  </si>
  <si>
    <t>FSC-A vs SSC-A</t>
  </si>
  <si>
    <t># ── TEST 04: Polygon gate, linear ─────────────────────────────────────────────</t>
  </si>
  <si>
    <t>test04</t>
  </si>
  <si>
    <t>singlets</t>
  </si>
  <si>
    <t>/singlets</t>
  </si>
  <si>
    <t>poly</t>
  </si>
  <si>
    <t>FSC-A vs FSC-H</t>
  </si>
  <si>
    <t># ── TEST 05: Ellipsoid gate, linear ───────────────────────────────────────────</t>
  </si>
  <si>
    <t>test05</t>
  </si>
  <si>
    <t>ellipse_cells</t>
  </si>
  <si>
    <t>/ellipse_cells</t>
  </si>
  <si>
    <t>ellipse</t>
  </si>
  <si>
    <t># ── TEST 06: 1D rectangle, biexponential (FITC-A) ─────────────────────────────</t>
  </si>
  <si>
    <t>test06</t>
  </si>
  <si>
    <t>FITC_pos</t>
  </si>
  <si>
    <t>/FITC_pos</t>
  </si>
  <si>
    <t>FITC-A (biexp)</t>
  </si>
  <si>
    <t># ── TEST 07: 1D rectangle, log (PE-A) ─────────────────────────────────────────</t>
  </si>
  <si>
    <t># NOTE: log-transform roundtrip drift expected — small count difference is documented</t>
  </si>
  <si>
    <t>test07</t>
  </si>
  <si>
    <t>PE_pos</t>
  </si>
  <si>
    <t>/PE_pos</t>
  </si>
  <si>
    <t>PE-A (log)</t>
  </si>
  <si>
    <t># ── TEST 08: 1D rectangle, arcsinh (APC-A) ────────────────────────────────────</t>
  </si>
  <si>
    <t>test08</t>
  </si>
  <si>
    <t>APC_pos</t>
  </si>
  <si>
    <t>/APC_pos</t>
  </si>
  <si>
    <t>APC-A (arcsinh)</t>
  </si>
  <si>
    <t># ── TEST 09: Hierarchical (2 levels), linear ──────────────────────────────────</t>
  </si>
  <si>
    <t>test09</t>
  </si>
  <si>
    <t>/cells/singlets</t>
  </si>
  <si>
    <t># ── TEST 10: Boolean AND/OR/NOT, linear ───────────────────────────────────────</t>
  </si>
  <si>
    <t>test10</t>
  </si>
  <si>
    <t>FSC_gate</t>
  </si>
  <si>
    <t>/FSC_gate</t>
  </si>
  <si>
    <t>SSC_gate</t>
  </si>
  <si>
    <t>/SSC_gate</t>
  </si>
  <si>
    <t>SSC-A</t>
  </si>
  <si>
    <t>both</t>
  </si>
  <si>
    <t>/both</t>
  </si>
  <si>
    <t>bool:AND</t>
  </si>
  <si>
    <t>FSC_gate AND SSC_gate</t>
  </si>
  <si>
    <t>bothOR</t>
  </si>
  <si>
    <t>/bothOR</t>
  </si>
  <si>
    <t>bool:OR</t>
  </si>
  <si>
    <t>FSC_gate OR SSC_gate</t>
  </si>
  <si>
    <t>bothNOT</t>
  </si>
  <si>
    <t>/bothNOT</t>
  </si>
  <si>
    <t>bool:NOT</t>
  </si>
  <si>
    <t>NOT both</t>
  </si>
  <si>
    <t># ── TEST 11: Mixed biexp+arcsinh, hierarchy + boolean ─────────────────────────</t>
  </si>
  <si>
    <t>test11</t>
  </si>
  <si>
    <t>/cells/FITC_pos</t>
  </si>
  <si>
    <t>/cells/APC_pos</t>
  </si>
  <si>
    <t>double_pos</t>
  </si>
  <si>
    <t>/cells/double_pos</t>
  </si>
  <si>
    <t>FITC_pos AND APC_pos</t>
  </si>
  <si>
    <t>Not imported</t>
  </si>
  <si>
    <t>either_pos</t>
  </si>
  <si>
    <t>/cells/either_pos</t>
  </si>
  <si>
    <t>FITC_pos OR APC_pos</t>
  </si>
  <si>
    <t># ── TEST 12: Biexp+log, ellipse + full boolean set ────────────────────────────</t>
  </si>
  <si>
    <t># NOTE: PE_hi and gates depending on it may show roundtrip drift (log transform)</t>
  </si>
  <si>
    <t>test12</t>
  </si>
  <si>
    <t>scatter_ellipse</t>
  </si>
  <si>
    <t>/scatter_ellipse</t>
  </si>
  <si>
    <t>FITC_hi</t>
  </si>
  <si>
    <t>/cells/FITC_hi</t>
  </si>
  <si>
    <t>PE_hi</t>
  </si>
  <si>
    <t>/cells/PE_hi</t>
  </si>
  <si>
    <t>double_hi</t>
  </si>
  <si>
    <t>/cells/double_hi</t>
  </si>
  <si>
    <t>FITC_hi AND PE_hi</t>
  </si>
  <si>
    <t>either_hi</t>
  </si>
  <si>
    <t>/cells/either_hi</t>
  </si>
  <si>
    <t>FITC_hi OR PE_hi</t>
  </si>
  <si>
    <t>neither</t>
  </si>
  <si>
    <t>/cells/neither</t>
  </si>
  <si>
    <t>NOT either_hi</t>
  </si>
  <si>
    <t>Not implemented</t>
  </si>
  <si>
    <t># ── TEST 13: Arcsinh × 3 channels, 3-level hierarchy + boolean ────────────────</t>
  </si>
  <si>
    <t>test13</t>
  </si>
  <si>
    <t>live</t>
  </si>
  <si>
    <t>/live</t>
  </si>
  <si>
    <t>Na</t>
  </si>
  <si>
    <t>/live/singlets</t>
  </si>
  <si>
    <t>na</t>
  </si>
  <si>
    <t>FITC_PE_gate</t>
  </si>
  <si>
    <t>/live/FITC_PE_gate</t>
  </si>
  <si>
    <t>FITC-A vs PE-A (arcsinh)</t>
  </si>
  <si>
    <t>/live/singlets/FITC_pos</t>
  </si>
  <si>
    <t>FITC-A (arcsinh)</t>
  </si>
  <si>
    <t>/live/singlets/APC_pos</t>
  </si>
  <si>
    <t>/live/singlets/double_pos</t>
  </si>
  <si>
    <t>not_double</t>
  </si>
  <si>
    <t>/live/singlets/not_double</t>
  </si>
  <si>
    <t>NOT double_pos</t>
  </si>
  <si>
    <t># ── TEST 14: Real-world validation — FlowSOM example data (CytoML v10 import → CyFj11 v10 export) ──</t>
  </si>
  <si>
    <t># Source: FlowSOM R package, 68983.fcs + gating.wsp (mouse bone marrow immunophenotyping)</t>
  </si>
  <si>
    <t>Lymphocytes</t>
  </si>
  <si>
    <t>Poly</t>
  </si>
  <si>
    <t>Fcs-ssc</t>
  </si>
  <si>
    <t># Pipeline: CytoML::flowjo_to_gatingset() → export_flowjo10_workspace()</t>
  </si>
  <si>
    <t>Singlets</t>
  </si>
  <si>
    <t>Rectangle</t>
  </si>
  <si>
    <t>Fsc-h fsc-w</t>
  </si>
  <si>
    <t># Compensation matrix present; fluorescence channels biexponential; scatter linear</t>
  </si>
  <si>
    <t>Singlets2</t>
  </si>
  <si>
    <t>Ssc-h ssc-w</t>
  </si>
  <si>
    <t># FJ11 note: marker name "NK1_1+" not parsed correctly by FJ11; cascading NA for downstream populations</t>
  </si>
  <si>
    <t>Nk1_1+</t>
  </si>
  <si>
    <t>Nk1-1 - fsc-a</t>
  </si>
  <si>
    <r>
      <rPr>
        <sz val="10"/>
        <color indexed="8"/>
        <rFont val="Helvetica Neue"/>
        <family val="2"/>
      </rPr>
      <t>[</t>
    </r>
    <r>
      <rPr>
        <sz val="10"/>
        <color indexed="14"/>
        <rFont val="Helvetica Neue"/>
        <family val="2"/>
      </rPr>
      <t>a</t>
    </r>
    <r>
      <rPr>
        <sz val="10"/>
        <color indexed="8"/>
        <rFont val="Helvetica Neue"/>
        <family val="2"/>
      </rPr>
      <t>]</t>
    </r>
  </si>
  <si>
    <t>NK cells</t>
  </si>
  <si>
    <t>Cd3 nk1_1</t>
  </si>
  <si>
    <t>NA</t>
  </si>
  <si>
    <t>FlowJo v11 failed to parse the marker name "NK1_1+" (underscore-plus combination); this caused all downstream populations dependent on NK1_1+ and NK1_1− gating to display as NA in FJ11. FJ10 correctly reproduced the count (diff = 1 cell). This failure reflects a FlowJo v11 marker-name parsing idiosyncrasy rather than a CyFj11 export error.</t>
  </si>
  <si>
    <t>NK T cells</t>
  </si>
  <si>
    <t>NK1_1-</t>
  </si>
  <si>
    <t>B cells</t>
  </si>
  <si>
    <t>Cd19 cd3</t>
  </si>
  <si>
    <t>T cells</t>
  </si>
  <si>
    <t>Ab T cells</t>
  </si>
  <si>
    <t>Polygon</t>
  </si>
  <si>
    <t>Tcrb - TRCgd</t>
  </si>
  <si>
    <t>CD4 T cells</t>
  </si>
  <si>
    <t>CD4 - CD8</t>
  </si>
  <si>
    <t>CD8 T cells</t>
  </si>
  <si>
    <t>DN T cells</t>
  </si>
  <si>
    <t>DP T cells</t>
  </si>
  <si>
    <t>Gd T cells</t>
  </si>
  <si>
    <t>Fj11 remake</t>
  </si>
  <si>
    <t>FJ11 cannot read even the file saved by FJ10, misinterpretes the ellipse gate and crashes</t>
  </si>
  <si>
    <t>counts are correct, but the axis is not biexp but linear</t>
  </si>
  <si>
    <t>counts are correct, but the axis is not log but linear</t>
  </si>
  <si>
    <t>counts are correct, but the axis is not asinh but linear</t>
  </si>
  <si>
    <t>ArcTanh, but no parameters</t>
  </si>
  <si>
    <t>ellipse gate not correctly imported</t>
  </si>
  <si>
    <t>not gate is only on PE_hi</t>
  </si>
  <si>
    <t>we get 2 not gates for FITC_hi and PE_hi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</si>
</sst>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14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sz val="10"/>
      <color rgb="FF000000"/>
      <name val="Helvetica Neue"/>
      <family val="2"/>
    </font>
    <font>
      <sz val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2" fillId="3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0" xfId="0" applyNumberFormat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3" borderId="12" xfId="0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0" fontId="0" fillId="0" borderId="14" xfId="0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49" fontId="4" fillId="0" borderId="9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10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7" fillId="0" borderId="10" xfId="0" applyNumberFormat="1" applyFont="1" applyBorder="1" applyAlignment="1">
      <alignment vertical="top"/>
    </xf>
    <xf numFmtId="49" fontId="7" fillId="0" borderId="10" xfId="0" applyNumberFormat="1" applyFont="1" applyBorder="1" applyAlignment="1">
      <alignment vertical="top"/>
    </xf>
    <xf numFmtId="0" fontId="7" fillId="0" borderId="1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8B1A9"/>
      <rgbColor rgb="FFA5A5A5"/>
      <rgbColor rgb="FF3F3F3F"/>
      <rgbColor rgb="FFDBDBDB"/>
      <rgbColor rgb="FF00A67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showGridLines="0" tabSelected="1" topLeftCell="A27" zoomScale="120" zoomScaleNormal="120" workbookViewId="0">
      <selection activeCell="G44" sqref="G44"/>
    </sheetView>
  </sheetViews>
  <sheetFormatPr baseColWidth="10" defaultColWidth="8.33203125" defaultRowHeight="20" customHeight="1" x14ac:dyDescent="0.15"/>
  <cols>
    <col min="1" max="1" width="6.83203125" style="1" customWidth="1"/>
    <col min="2" max="2" width="11.33203125" style="1" customWidth="1"/>
    <col min="3" max="3" width="13.1640625" style="1" customWidth="1"/>
    <col min="4" max="4" width="8.83203125" style="1" customWidth="1"/>
    <col min="5" max="5" width="20.6640625" style="1" customWidth="1"/>
    <col min="6" max="6" width="7.1640625" style="1" customWidth="1"/>
    <col min="7" max="8" width="9.33203125" style="1" customWidth="1"/>
    <col min="9" max="12" width="8.6640625" style="1" customWidth="1"/>
    <col min="13" max="13" width="5.6640625" style="1" customWidth="1"/>
    <col min="14" max="14" width="8.33203125" style="1" customWidth="1"/>
    <col min="15" max="16384" width="8.33203125" style="1"/>
  </cols>
  <sheetData>
    <row r="1" spans="1:13" ht="27.75" customHeight="1" x14ac:dyDescent="0.1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0.25" customHeight="1" x14ac:dyDescent="0.1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ht="20.25" customHeight="1" x14ac:dyDescent="0.15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ht="20" customHeight="1" x14ac:dyDescent="0.15">
      <c r="A4" s="9" t="s">
        <v>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</row>
    <row r="5" spans="1:13" ht="20" customHeight="1" x14ac:dyDescent="0.15">
      <c r="A5" s="9" t="s">
        <v>4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13" ht="20" customHeight="1" x14ac:dyDescent="0.15">
      <c r="A6" s="9" t="s">
        <v>5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ht="20" customHeight="1" x14ac:dyDescent="0.15">
      <c r="A7" s="9" t="s">
        <v>6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3" ht="20" customHeight="1" x14ac:dyDescent="0.15">
      <c r="A8" s="9" t="s">
        <v>7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</row>
    <row r="9" spans="1:13" ht="20" customHeight="1" x14ac:dyDescent="0.15">
      <c r="A9" s="9" t="s">
        <v>8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 ht="20" customHeight="1" x14ac:dyDescent="0.15">
      <c r="A10" s="9" t="s">
        <v>9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 ht="20" customHeight="1" x14ac:dyDescent="0.15">
      <c r="A11" s="9" t="s">
        <v>10</v>
      </c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spans="1:13" ht="20" customHeight="1" x14ac:dyDescent="0.15">
      <c r="A12" s="9" t="s">
        <v>11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spans="1:13" ht="20" customHeight="1" x14ac:dyDescent="0.15">
      <c r="A13" s="9" t="s">
        <v>12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ht="20" customHeight="1" x14ac:dyDescent="0.15">
      <c r="A14" s="9" t="s">
        <v>13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spans="1:13" ht="20" customHeight="1" x14ac:dyDescent="0.15">
      <c r="A15" s="9" t="s">
        <v>14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ht="20" customHeight="1" x14ac:dyDescent="0.15">
      <c r="A16" s="9" t="s">
        <v>15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</row>
    <row r="17" spans="1:13" ht="20" customHeight="1" x14ac:dyDescent="0.15">
      <c r="A17" s="9" t="s">
        <v>16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  <row r="18" spans="1:13" ht="20" customHeight="1" x14ac:dyDescent="0.15">
      <c r="A18" s="9" t="s">
        <v>17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spans="1:13" ht="20" customHeight="1" x14ac:dyDescent="0.15">
      <c r="A19" s="9" t="s">
        <v>18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3" ht="20" customHeight="1" x14ac:dyDescent="0.15">
      <c r="A20" s="9" t="s">
        <v>19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ht="20" customHeight="1" x14ac:dyDescent="0.15">
      <c r="A21" s="9" t="s">
        <v>20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</row>
    <row r="22" spans="1:13" ht="20" customHeight="1" x14ac:dyDescent="0.15">
      <c r="A22" s="9" t="s">
        <v>21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spans="1:13" ht="20" customHeight="1" x14ac:dyDescent="0.15">
      <c r="A23" s="9" t="s">
        <v>13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</row>
    <row r="24" spans="1:13" ht="20" customHeight="1" x14ac:dyDescent="0.15">
      <c r="A24" s="9" t="s">
        <v>22</v>
      </c>
      <c r="B24" s="13" t="s">
        <v>23</v>
      </c>
      <c r="C24" s="14" t="s">
        <v>24</v>
      </c>
      <c r="D24" s="14" t="s">
        <v>25</v>
      </c>
      <c r="E24" s="14" t="s">
        <v>26</v>
      </c>
      <c r="F24" s="14" t="s">
        <v>27</v>
      </c>
      <c r="G24" s="14" t="s">
        <v>28</v>
      </c>
      <c r="H24" s="14" t="s">
        <v>29</v>
      </c>
      <c r="I24" s="23" t="s">
        <v>182</v>
      </c>
      <c r="J24" s="14" t="s">
        <v>30</v>
      </c>
      <c r="K24" s="14" t="s">
        <v>31</v>
      </c>
      <c r="L24" s="14" t="s">
        <v>32</v>
      </c>
      <c r="M24" s="15" t="s">
        <v>33</v>
      </c>
    </row>
    <row r="25" spans="1:13" ht="20" customHeight="1" x14ac:dyDescent="0.15">
      <c r="A25" s="9" t="s">
        <v>13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</row>
    <row r="26" spans="1:13" ht="20" customHeight="1" x14ac:dyDescent="0.15">
      <c r="A26" s="9" t="s">
        <v>34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</row>
    <row r="27" spans="1:13" ht="20" customHeight="1" x14ac:dyDescent="0.15">
      <c r="A27" s="9" t="s">
        <v>35</v>
      </c>
      <c r="B27" s="13" t="s">
        <v>36</v>
      </c>
      <c r="C27" s="14" t="s">
        <v>37</v>
      </c>
      <c r="D27" s="14" t="s">
        <v>38</v>
      </c>
      <c r="E27" s="14" t="s">
        <v>39</v>
      </c>
      <c r="F27" s="16">
        <v>5000</v>
      </c>
      <c r="G27" s="16">
        <v>5000</v>
      </c>
      <c r="H27" s="16">
        <v>5000</v>
      </c>
      <c r="I27" s="16">
        <v>5000</v>
      </c>
      <c r="J27" s="16">
        <v>5000</v>
      </c>
      <c r="K27" s="16" cm="1">
        <f t="array" ref="K27">F27-G27</f>
        <v>0</v>
      </c>
      <c r="L27" s="16" cm="1">
        <f t="array" ref="L27">F27-H27</f>
        <v>0</v>
      </c>
      <c r="M27" s="12"/>
    </row>
    <row r="28" spans="1:13" ht="20" customHeight="1" x14ac:dyDescent="0.15">
      <c r="A28" s="9" t="s">
        <v>13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</row>
    <row r="29" spans="1:13" ht="20" customHeight="1" x14ac:dyDescent="0.15">
      <c r="A29" s="9" t="s">
        <v>40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1:13" ht="20" customHeight="1" x14ac:dyDescent="0.15">
      <c r="A30" s="9" t="s">
        <v>41</v>
      </c>
      <c r="B30" s="13" t="s">
        <v>42</v>
      </c>
      <c r="C30" s="14" t="s">
        <v>43</v>
      </c>
      <c r="D30" s="14" t="s">
        <v>44</v>
      </c>
      <c r="E30" s="14" t="s">
        <v>45</v>
      </c>
      <c r="F30" s="16">
        <v>4776</v>
      </c>
      <c r="G30" s="16">
        <v>4776</v>
      </c>
      <c r="H30" s="16">
        <v>4776</v>
      </c>
      <c r="I30" s="16">
        <v>4776</v>
      </c>
      <c r="J30" s="16">
        <v>4776</v>
      </c>
      <c r="K30" s="16" cm="1">
        <f t="array" ref="K30">F30-G30</f>
        <v>0</v>
      </c>
      <c r="L30" s="16" cm="1">
        <f t="array" ref="L30">F30-H30</f>
        <v>0</v>
      </c>
      <c r="M30" s="12"/>
    </row>
    <row r="31" spans="1:13" ht="20" customHeight="1" x14ac:dyDescent="0.15">
      <c r="A31" s="9" t="s">
        <v>13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</row>
    <row r="32" spans="1:13" ht="20" customHeight="1" x14ac:dyDescent="0.15">
      <c r="A32" s="9" t="s">
        <v>46</v>
      </c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</row>
    <row r="33" spans="1:13" ht="20" customHeight="1" x14ac:dyDescent="0.15">
      <c r="A33" s="9" t="s">
        <v>47</v>
      </c>
      <c r="B33" s="13" t="s">
        <v>48</v>
      </c>
      <c r="C33" s="14" t="s">
        <v>49</v>
      </c>
      <c r="D33" s="14" t="s">
        <v>50</v>
      </c>
      <c r="E33" s="14" t="s">
        <v>51</v>
      </c>
      <c r="F33" s="16">
        <v>4631</v>
      </c>
      <c r="G33" s="16">
        <v>4631</v>
      </c>
      <c r="H33" s="16">
        <v>4631</v>
      </c>
      <c r="I33" s="16">
        <v>4631</v>
      </c>
      <c r="J33" s="16">
        <v>4631</v>
      </c>
      <c r="K33" s="16" cm="1">
        <f t="array" ref="K33">F33-G33</f>
        <v>0</v>
      </c>
      <c r="L33" s="16" cm="1">
        <f t="array" ref="L33">F33-H33</f>
        <v>0</v>
      </c>
      <c r="M33" s="12"/>
    </row>
    <row r="34" spans="1:13" ht="20" customHeight="1" x14ac:dyDescent="0.15">
      <c r="A34" s="9" t="s">
        <v>13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</row>
    <row r="35" spans="1:13" ht="20" customHeight="1" x14ac:dyDescent="0.15">
      <c r="A35" s="9" t="s">
        <v>52</v>
      </c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</row>
    <row r="36" spans="1:13" ht="20" customHeight="1" x14ac:dyDescent="0.15">
      <c r="A36" s="9" t="s">
        <v>53</v>
      </c>
      <c r="B36" s="13" t="s">
        <v>54</v>
      </c>
      <c r="C36" s="14" t="s">
        <v>55</v>
      </c>
      <c r="D36" s="14" t="s">
        <v>56</v>
      </c>
      <c r="E36" s="14" t="s">
        <v>57</v>
      </c>
      <c r="F36" s="16">
        <v>7555</v>
      </c>
      <c r="G36" s="16">
        <v>7569</v>
      </c>
      <c r="H36" s="16">
        <v>7506</v>
      </c>
      <c r="I36" s="16">
        <v>7506</v>
      </c>
      <c r="J36" s="16">
        <v>7555</v>
      </c>
      <c r="K36" s="16" cm="1">
        <f t="array" ref="K36">F36-G36</f>
        <v>-14</v>
      </c>
      <c r="L36" s="16" cm="1">
        <f t="array" ref="L36">F36-H36</f>
        <v>49</v>
      </c>
      <c r="M36" s="12"/>
    </row>
    <row r="37" spans="1:13" ht="20" customHeight="1" x14ac:dyDescent="0.15">
      <c r="A37" s="9" t="s">
        <v>13</v>
      </c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</row>
    <row r="38" spans="1:13" ht="20" customHeight="1" x14ac:dyDescent="0.15">
      <c r="A38" s="9" t="s">
        <v>58</v>
      </c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2"/>
    </row>
    <row r="39" spans="1:13" ht="20" customHeight="1" x14ac:dyDescent="0.15">
      <c r="A39" s="9" t="s">
        <v>59</v>
      </c>
      <c r="B39" s="13" t="s">
        <v>60</v>
      </c>
      <c r="C39" s="23" t="s">
        <v>61</v>
      </c>
      <c r="D39" s="14" t="s">
        <v>62</v>
      </c>
      <c r="E39" s="14" t="s">
        <v>51</v>
      </c>
      <c r="F39" s="16">
        <v>7301</v>
      </c>
      <c r="G39" s="16">
        <v>7306</v>
      </c>
      <c r="H39" s="16">
        <v>0</v>
      </c>
      <c r="I39" s="16">
        <v>7290</v>
      </c>
      <c r="J39" s="16">
        <v>7281</v>
      </c>
      <c r="K39" s="16" cm="1">
        <f t="array" ref="K39">F39-G39</f>
        <v>-5</v>
      </c>
      <c r="L39" s="16" cm="1">
        <f t="array" ref="L39">F39-H39</f>
        <v>7301</v>
      </c>
      <c r="M39" s="12"/>
    </row>
    <row r="40" spans="1:13" ht="20" customHeight="1" x14ac:dyDescent="0.15">
      <c r="A40" s="9" t="s">
        <v>13</v>
      </c>
      <c r="B40" s="10"/>
      <c r="C40" s="11"/>
      <c r="D40" s="11"/>
      <c r="E40" s="11"/>
      <c r="F40" s="11"/>
      <c r="G40" s="11"/>
      <c r="H40" s="26" t="s">
        <v>183</v>
      </c>
      <c r="I40" s="11"/>
      <c r="J40" s="11"/>
      <c r="K40" s="11"/>
      <c r="L40" s="11"/>
      <c r="M40" s="12"/>
    </row>
    <row r="41" spans="1:13" ht="20" customHeight="1" x14ac:dyDescent="0.15">
      <c r="A41" s="9" t="s">
        <v>63</v>
      </c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2"/>
    </row>
    <row r="42" spans="1:13" ht="20" customHeight="1" x14ac:dyDescent="0.15">
      <c r="A42" s="9" t="s">
        <v>64</v>
      </c>
      <c r="B42" s="13" t="s">
        <v>65</v>
      </c>
      <c r="C42" s="14" t="s">
        <v>66</v>
      </c>
      <c r="D42" s="14" t="s">
        <v>44</v>
      </c>
      <c r="E42" s="14" t="s">
        <v>67</v>
      </c>
      <c r="F42" s="16">
        <v>2403</v>
      </c>
      <c r="G42" s="16">
        <v>2403</v>
      </c>
      <c r="H42" s="16">
        <v>2403</v>
      </c>
      <c r="I42" s="16">
        <v>2400</v>
      </c>
      <c r="J42" s="28">
        <v>2400</v>
      </c>
      <c r="K42" s="16" cm="1">
        <f t="array" ref="K42">F42-G42</f>
        <v>0</v>
      </c>
      <c r="L42" s="16" cm="1">
        <f t="array" ref="L42">F42-H42</f>
        <v>0</v>
      </c>
      <c r="M42" s="12"/>
    </row>
    <row r="43" spans="1:13" ht="20" customHeight="1" x14ac:dyDescent="0.15">
      <c r="A43" s="9" t="s">
        <v>13</v>
      </c>
      <c r="B43" s="10"/>
      <c r="C43" s="11"/>
      <c r="D43" s="11"/>
      <c r="E43" s="11"/>
      <c r="F43" s="11"/>
      <c r="G43" s="11"/>
      <c r="H43" s="26" t="s">
        <v>184</v>
      </c>
      <c r="I43" s="11"/>
      <c r="J43" s="11"/>
      <c r="K43" s="11"/>
      <c r="L43" s="11"/>
      <c r="M43" s="12"/>
    </row>
    <row r="44" spans="1:13" ht="20" customHeight="1" x14ac:dyDescent="0.15">
      <c r="A44" s="9" t="s">
        <v>68</v>
      </c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</row>
    <row r="45" spans="1:13" ht="20" customHeight="1" x14ac:dyDescent="0.15">
      <c r="A45" s="9" t="s">
        <v>69</v>
      </c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</row>
    <row r="46" spans="1:13" ht="20" customHeight="1" x14ac:dyDescent="0.15">
      <c r="A46" s="9" t="s">
        <v>70</v>
      </c>
      <c r="B46" s="13" t="s">
        <v>71</v>
      </c>
      <c r="C46" s="14" t="s">
        <v>72</v>
      </c>
      <c r="D46" s="14" t="s">
        <v>44</v>
      </c>
      <c r="E46" s="14" t="s">
        <v>73</v>
      </c>
      <c r="F46" s="16">
        <v>3198</v>
      </c>
      <c r="G46" s="16">
        <v>3198</v>
      </c>
      <c r="H46" s="16">
        <v>3198</v>
      </c>
      <c r="I46" s="16">
        <v>3198</v>
      </c>
      <c r="J46" s="28">
        <v>3198</v>
      </c>
      <c r="K46" s="16" cm="1">
        <f t="array" ref="K46">F46-G46</f>
        <v>0</v>
      </c>
      <c r="L46" s="16" cm="1">
        <f t="array" ref="L46">F46-H46</f>
        <v>0</v>
      </c>
      <c r="M46" s="12"/>
    </row>
    <row r="47" spans="1:13" ht="20" customHeight="1" x14ac:dyDescent="0.15">
      <c r="A47" s="9" t="s">
        <v>13</v>
      </c>
      <c r="B47" s="10"/>
      <c r="C47" s="11"/>
      <c r="D47" s="11"/>
      <c r="E47" s="11"/>
      <c r="F47" s="11"/>
      <c r="G47" s="11"/>
      <c r="H47" s="26" t="s">
        <v>185</v>
      </c>
      <c r="I47" s="11"/>
      <c r="J47" s="11"/>
      <c r="K47" s="11"/>
      <c r="L47" s="11"/>
      <c r="M47" s="12"/>
    </row>
    <row r="48" spans="1:13" ht="20" customHeight="1" x14ac:dyDescent="0.15">
      <c r="A48" s="9" t="s">
        <v>74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</row>
    <row r="49" spans="1:13" ht="20" customHeight="1" x14ac:dyDescent="0.15">
      <c r="A49" s="9" t="s">
        <v>75</v>
      </c>
      <c r="B49" s="13" t="s">
        <v>76</v>
      </c>
      <c r="C49" s="14" t="s">
        <v>77</v>
      </c>
      <c r="D49" s="14" t="s">
        <v>44</v>
      </c>
      <c r="E49" s="14" t="s">
        <v>78</v>
      </c>
      <c r="F49" s="16">
        <v>1606</v>
      </c>
      <c r="G49" s="16">
        <v>1606</v>
      </c>
      <c r="H49" s="16">
        <v>1608</v>
      </c>
      <c r="I49" s="16">
        <v>1599</v>
      </c>
      <c r="J49" s="28">
        <v>1599</v>
      </c>
      <c r="K49" s="16" cm="1">
        <f t="array" ref="K49">F49-G49</f>
        <v>0</v>
      </c>
      <c r="L49" s="16" cm="1">
        <f t="array" ref="L49">F49-H49</f>
        <v>-2</v>
      </c>
      <c r="M49" s="12"/>
    </row>
    <row r="50" spans="1:13" ht="20" customHeight="1" x14ac:dyDescent="0.15">
      <c r="A50" s="9" t="s">
        <v>13</v>
      </c>
      <c r="B50" s="10"/>
      <c r="C50" s="11"/>
      <c r="D50" s="11"/>
      <c r="E50" s="11"/>
      <c r="F50" s="11"/>
      <c r="G50" s="11"/>
      <c r="H50" s="26" t="s">
        <v>186</v>
      </c>
      <c r="I50" s="26" t="s">
        <v>187</v>
      </c>
      <c r="J50" s="11"/>
      <c r="K50" s="11"/>
      <c r="L50" s="11"/>
      <c r="M50" s="12"/>
    </row>
    <row r="51" spans="1:13" ht="20" customHeight="1" x14ac:dyDescent="0.15">
      <c r="A51" s="9" t="s">
        <v>79</v>
      </c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</row>
    <row r="52" spans="1:13" ht="20" customHeight="1" x14ac:dyDescent="0.15">
      <c r="A52" s="9" t="s">
        <v>80</v>
      </c>
      <c r="B52" s="13" t="s">
        <v>48</v>
      </c>
      <c r="C52" s="14" t="s">
        <v>49</v>
      </c>
      <c r="D52" s="14" t="s">
        <v>50</v>
      </c>
      <c r="E52" s="14" t="s">
        <v>51</v>
      </c>
      <c r="F52" s="16">
        <v>9441</v>
      </c>
      <c r="G52" s="16">
        <v>9441</v>
      </c>
      <c r="H52" s="16">
        <v>9441</v>
      </c>
      <c r="I52" s="16">
        <v>9441</v>
      </c>
      <c r="J52" s="16">
        <v>9441</v>
      </c>
      <c r="K52" s="16" cm="1">
        <f t="array" ref="K52">F52-G52</f>
        <v>0</v>
      </c>
      <c r="L52" s="16" cm="1">
        <f t="array" ref="L52">F52-H52</f>
        <v>0</v>
      </c>
      <c r="M52" s="12"/>
    </row>
    <row r="53" spans="1:13" ht="20" customHeight="1" x14ac:dyDescent="0.15">
      <c r="A53" s="9" t="s">
        <v>80</v>
      </c>
      <c r="B53" s="13" t="s">
        <v>54</v>
      </c>
      <c r="C53" s="14" t="s">
        <v>81</v>
      </c>
      <c r="D53" s="14" t="s">
        <v>50</v>
      </c>
      <c r="E53" s="14" t="s">
        <v>57</v>
      </c>
      <c r="F53" s="16">
        <v>8800</v>
      </c>
      <c r="G53" s="16">
        <v>8800</v>
      </c>
      <c r="H53" s="16">
        <v>8800</v>
      </c>
      <c r="I53" s="16">
        <v>8800</v>
      </c>
      <c r="J53" s="16">
        <v>8800</v>
      </c>
      <c r="K53" s="16" cm="1">
        <f t="array" ref="K53">F53-G53</f>
        <v>0</v>
      </c>
      <c r="L53" s="16" cm="1">
        <f t="array" ref="L53">F53-H53</f>
        <v>0</v>
      </c>
      <c r="M53" s="12"/>
    </row>
    <row r="54" spans="1:13" ht="20" customHeight="1" x14ac:dyDescent="0.15">
      <c r="A54" s="9" t="s">
        <v>13</v>
      </c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</row>
    <row r="55" spans="1:13" ht="20" customHeight="1" x14ac:dyDescent="0.15">
      <c r="A55" s="17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</row>
    <row r="56" spans="1:13" ht="20" customHeight="1" x14ac:dyDescent="0.15">
      <c r="A56" s="9" t="s">
        <v>82</v>
      </c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</row>
    <row r="57" spans="1:13" ht="20" customHeight="1" x14ac:dyDescent="0.15">
      <c r="A57" s="9" t="s">
        <v>83</v>
      </c>
      <c r="B57" s="13" t="s">
        <v>84</v>
      </c>
      <c r="C57" s="14" t="s">
        <v>85</v>
      </c>
      <c r="D57" s="14" t="s">
        <v>44</v>
      </c>
      <c r="E57" s="14" t="s">
        <v>45</v>
      </c>
      <c r="F57" s="16">
        <v>7554</v>
      </c>
      <c r="G57" s="16">
        <v>7554</v>
      </c>
      <c r="H57" s="16">
        <v>7554</v>
      </c>
      <c r="I57" s="16">
        <v>7558</v>
      </c>
      <c r="J57" s="16">
        <v>7558</v>
      </c>
      <c r="K57" s="16" cm="1">
        <f t="array" ref="K57">F57-G57</f>
        <v>0</v>
      </c>
      <c r="L57" s="16" cm="1">
        <f t="array" ref="L57">F57-H57</f>
        <v>0</v>
      </c>
      <c r="M57" s="12"/>
    </row>
    <row r="58" spans="1:13" ht="20" customHeight="1" x14ac:dyDescent="0.15">
      <c r="A58" s="9" t="s">
        <v>83</v>
      </c>
      <c r="B58" s="13" t="s">
        <v>86</v>
      </c>
      <c r="C58" s="14" t="s">
        <v>87</v>
      </c>
      <c r="D58" s="14" t="s">
        <v>44</v>
      </c>
      <c r="E58" s="14" t="s">
        <v>88</v>
      </c>
      <c r="F58" s="16">
        <v>7392</v>
      </c>
      <c r="G58" s="16">
        <v>7392</v>
      </c>
      <c r="H58" s="16">
        <v>7392</v>
      </c>
      <c r="I58" s="16">
        <v>7392</v>
      </c>
      <c r="J58" s="16">
        <v>7392</v>
      </c>
      <c r="K58" s="16" cm="1">
        <f t="array" ref="K58">F58-G58</f>
        <v>0</v>
      </c>
      <c r="L58" s="16" cm="1">
        <f t="array" ref="L58">F58-H58</f>
        <v>0</v>
      </c>
      <c r="M58" s="12"/>
    </row>
    <row r="59" spans="1:13" ht="20" customHeight="1" x14ac:dyDescent="0.15">
      <c r="A59" s="9" t="s">
        <v>83</v>
      </c>
      <c r="B59" s="13" t="s">
        <v>89</v>
      </c>
      <c r="C59" s="14" t="s">
        <v>90</v>
      </c>
      <c r="D59" s="14" t="s">
        <v>91</v>
      </c>
      <c r="E59" s="14" t="s">
        <v>92</v>
      </c>
      <c r="F59" s="16">
        <v>6979</v>
      </c>
      <c r="G59" s="16">
        <v>6979</v>
      </c>
      <c r="H59" s="16">
        <v>6979</v>
      </c>
      <c r="I59" s="16">
        <v>6983</v>
      </c>
      <c r="J59" s="16">
        <v>6983</v>
      </c>
      <c r="K59" s="16" cm="1">
        <f t="array" ref="K59">F59-G59</f>
        <v>0</v>
      </c>
      <c r="L59" s="16" cm="1">
        <f t="array" ref="L59">F59-H59</f>
        <v>0</v>
      </c>
      <c r="M59" s="12"/>
    </row>
    <row r="60" spans="1:13" ht="20" customHeight="1" x14ac:dyDescent="0.15">
      <c r="A60" s="9" t="s">
        <v>83</v>
      </c>
      <c r="B60" s="13" t="s">
        <v>93</v>
      </c>
      <c r="C60" s="14" t="s">
        <v>94</v>
      </c>
      <c r="D60" s="14" t="s">
        <v>95</v>
      </c>
      <c r="E60" s="14" t="s">
        <v>96</v>
      </c>
      <c r="F60" s="16">
        <v>7967</v>
      </c>
      <c r="G60" s="16">
        <v>7967</v>
      </c>
      <c r="H60" s="16">
        <v>7967</v>
      </c>
      <c r="I60" s="16">
        <v>7967</v>
      </c>
      <c r="J60" s="16">
        <v>7967</v>
      </c>
      <c r="K60" s="16" cm="1">
        <f t="array" ref="K60">F60-G60</f>
        <v>0</v>
      </c>
      <c r="L60" s="16" cm="1">
        <f t="array" ref="L60">F60-H60</f>
        <v>0</v>
      </c>
      <c r="M60" s="12"/>
    </row>
    <row r="61" spans="1:13" ht="20" customHeight="1" x14ac:dyDescent="0.15">
      <c r="A61" s="9" t="s">
        <v>83</v>
      </c>
      <c r="B61" s="13" t="s">
        <v>97</v>
      </c>
      <c r="C61" s="14" t="s">
        <v>98</v>
      </c>
      <c r="D61" s="14" t="s">
        <v>99</v>
      </c>
      <c r="E61" s="14" t="s">
        <v>100</v>
      </c>
      <c r="F61" s="16">
        <v>1021</v>
      </c>
      <c r="G61" s="16">
        <v>1021</v>
      </c>
      <c r="H61" s="16">
        <v>1021</v>
      </c>
      <c r="I61" s="16">
        <v>1017</v>
      </c>
      <c r="J61" s="16">
        <v>1017</v>
      </c>
      <c r="K61" s="16" cm="1">
        <f t="array" ref="K61">F61-G61</f>
        <v>0</v>
      </c>
      <c r="L61" s="16" cm="1">
        <f t="array" ref="L61">F61-H61</f>
        <v>0</v>
      </c>
      <c r="M61" s="12"/>
    </row>
    <row r="62" spans="1:13" ht="20" customHeight="1" x14ac:dyDescent="0.15">
      <c r="A62" s="9" t="s">
        <v>13</v>
      </c>
      <c r="B62" s="10"/>
      <c r="C62" s="11"/>
      <c r="D62" s="11"/>
      <c r="E62" s="11"/>
      <c r="F62" s="11"/>
      <c r="G62" s="11"/>
      <c r="H62" s="11"/>
      <c r="K62" s="11"/>
      <c r="L62" s="11"/>
      <c r="M62" s="12"/>
    </row>
    <row r="63" spans="1:13" ht="20" customHeight="1" x14ac:dyDescent="0.15">
      <c r="A63" s="9" t="s">
        <v>101</v>
      </c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2"/>
    </row>
    <row r="64" spans="1:13" ht="20" customHeight="1" x14ac:dyDescent="0.15">
      <c r="A64" s="9" t="s">
        <v>102</v>
      </c>
      <c r="B64" s="13" t="s">
        <v>48</v>
      </c>
      <c r="C64" s="14" t="s">
        <v>49</v>
      </c>
      <c r="D64" s="14" t="s">
        <v>50</v>
      </c>
      <c r="E64" s="14" t="s">
        <v>51</v>
      </c>
      <c r="F64" s="16">
        <v>9696</v>
      </c>
      <c r="G64" s="16">
        <v>9696</v>
      </c>
      <c r="H64" s="16">
        <v>9696</v>
      </c>
      <c r="I64" s="16">
        <v>9696</v>
      </c>
      <c r="J64" s="16">
        <v>9696</v>
      </c>
      <c r="K64" s="16" cm="1">
        <f t="array" ref="K64">F64-G64</f>
        <v>0</v>
      </c>
      <c r="L64" s="16" cm="1">
        <f t="array" ref="L64">F64-H64</f>
        <v>0</v>
      </c>
      <c r="M64" s="12"/>
    </row>
    <row r="65" spans="1:13" ht="20" customHeight="1" x14ac:dyDescent="0.15">
      <c r="A65" s="9" t="s">
        <v>102</v>
      </c>
      <c r="B65" s="13" t="s">
        <v>65</v>
      </c>
      <c r="C65" s="14" t="s">
        <v>103</v>
      </c>
      <c r="D65" s="14" t="s">
        <v>44</v>
      </c>
      <c r="E65" s="14" t="s">
        <v>67</v>
      </c>
      <c r="F65" s="16">
        <v>2897</v>
      </c>
      <c r="G65" s="16">
        <v>2897</v>
      </c>
      <c r="H65" s="16">
        <v>2897</v>
      </c>
      <c r="I65" s="16">
        <v>2897</v>
      </c>
      <c r="J65" s="16">
        <v>2897</v>
      </c>
      <c r="K65" s="16" cm="1">
        <f t="array" ref="K65">F65-G65</f>
        <v>0</v>
      </c>
      <c r="L65" s="16" cm="1">
        <f t="array" ref="L65">F65-H65</f>
        <v>0</v>
      </c>
      <c r="M65" s="12"/>
    </row>
    <row r="66" spans="1:13" ht="20" customHeight="1" x14ac:dyDescent="0.15">
      <c r="A66" s="9" t="s">
        <v>102</v>
      </c>
      <c r="B66" s="13" t="s">
        <v>76</v>
      </c>
      <c r="C66" s="14" t="s">
        <v>104</v>
      </c>
      <c r="D66" s="14" t="s">
        <v>44</v>
      </c>
      <c r="E66" s="14" t="s">
        <v>78</v>
      </c>
      <c r="F66" s="16">
        <v>1930</v>
      </c>
      <c r="G66" s="16">
        <v>1930</v>
      </c>
      <c r="H66" s="16">
        <v>1930</v>
      </c>
      <c r="I66" s="16">
        <v>1930</v>
      </c>
      <c r="J66" s="16">
        <v>1930</v>
      </c>
      <c r="K66" s="16" cm="1">
        <f t="array" ref="K66">F66-G66</f>
        <v>0</v>
      </c>
      <c r="L66" s="16" cm="1">
        <f t="array" ref="L66">F66-H66</f>
        <v>0</v>
      </c>
      <c r="M66" s="12"/>
    </row>
    <row r="67" spans="1:13" ht="20" customHeight="1" x14ac:dyDescent="0.15">
      <c r="A67" s="9" t="s">
        <v>102</v>
      </c>
      <c r="B67" s="13" t="s">
        <v>54</v>
      </c>
      <c r="C67" s="14" t="s">
        <v>81</v>
      </c>
      <c r="D67" s="14" t="s">
        <v>56</v>
      </c>
      <c r="E67" s="14" t="s">
        <v>57</v>
      </c>
      <c r="F67" s="16">
        <v>9478</v>
      </c>
      <c r="G67" s="16">
        <v>9474</v>
      </c>
      <c r="H67" s="16">
        <v>9487</v>
      </c>
      <c r="I67" s="16">
        <v>9478</v>
      </c>
      <c r="J67" s="16">
        <v>9478</v>
      </c>
      <c r="K67" s="16" cm="1">
        <f t="array" ref="K67">F67-G67</f>
        <v>4</v>
      </c>
      <c r="L67" s="16" cm="1">
        <f t="array" ref="L67">F67-H67</f>
        <v>-9</v>
      </c>
      <c r="M67" s="12"/>
    </row>
    <row r="68" spans="1:13" ht="20" customHeight="1" x14ac:dyDescent="0.15">
      <c r="A68" s="9" t="s">
        <v>102</v>
      </c>
      <c r="B68" s="13" t="s">
        <v>105</v>
      </c>
      <c r="C68" s="14" t="s">
        <v>106</v>
      </c>
      <c r="D68" s="14" t="s">
        <v>91</v>
      </c>
      <c r="E68" s="14" t="s">
        <v>107</v>
      </c>
      <c r="F68" s="16">
        <v>1928</v>
      </c>
      <c r="G68" s="16">
        <v>1928</v>
      </c>
      <c r="H68" s="14" t="s">
        <v>108</v>
      </c>
      <c r="I68" s="16">
        <v>1928</v>
      </c>
      <c r="J68" s="16">
        <v>1928</v>
      </c>
      <c r="K68" s="16" cm="1">
        <f t="array" ref="K68">F68-G68</f>
        <v>0</v>
      </c>
      <c r="L68" s="11" t="e" cm="1">
        <f t="array" ref="L68">F68-H68</f>
        <v>#VALUE!</v>
      </c>
      <c r="M68" s="12"/>
    </row>
    <row r="69" spans="1:13" ht="20" customHeight="1" x14ac:dyDescent="0.15">
      <c r="A69" s="9" t="s">
        <v>102</v>
      </c>
      <c r="B69" s="13" t="s">
        <v>109</v>
      </c>
      <c r="C69" s="14" t="s">
        <v>110</v>
      </c>
      <c r="D69" s="14" t="s">
        <v>95</v>
      </c>
      <c r="E69" s="14" t="s">
        <v>111</v>
      </c>
      <c r="F69" s="16">
        <v>2899</v>
      </c>
      <c r="G69" s="16">
        <v>2899</v>
      </c>
      <c r="H69" s="14" t="s">
        <v>108</v>
      </c>
      <c r="I69" s="16">
        <v>2899</v>
      </c>
      <c r="J69" s="16">
        <v>2899</v>
      </c>
      <c r="K69" s="16" cm="1">
        <f t="array" ref="K69">F69-G69</f>
        <v>0</v>
      </c>
      <c r="L69" s="11" t="e" cm="1">
        <f t="array" ref="L69">F69-H69</f>
        <v>#VALUE!</v>
      </c>
      <c r="M69" s="12"/>
    </row>
    <row r="70" spans="1:13" ht="20" customHeight="1" x14ac:dyDescent="0.15">
      <c r="A70" s="9" t="s">
        <v>13</v>
      </c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2"/>
    </row>
    <row r="71" spans="1:13" ht="20" customHeight="1" x14ac:dyDescent="0.15">
      <c r="A71" s="9" t="s">
        <v>112</v>
      </c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/>
    </row>
    <row r="72" spans="1:13" ht="20" customHeight="1" x14ac:dyDescent="0.15">
      <c r="A72" s="9" t="s">
        <v>113</v>
      </c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2"/>
    </row>
    <row r="73" spans="1:13" ht="20" customHeight="1" x14ac:dyDescent="0.15">
      <c r="A73" s="9" t="s">
        <v>114</v>
      </c>
      <c r="B73" s="13" t="s">
        <v>48</v>
      </c>
      <c r="C73" s="14" t="s">
        <v>49</v>
      </c>
      <c r="D73" s="14" t="s">
        <v>50</v>
      </c>
      <c r="E73" s="14" t="s">
        <v>51</v>
      </c>
      <c r="F73" s="16">
        <v>9765</v>
      </c>
      <c r="G73" s="16">
        <v>9765</v>
      </c>
      <c r="H73" s="16">
        <v>9765</v>
      </c>
      <c r="I73" s="16">
        <v>9765</v>
      </c>
      <c r="J73" s="16">
        <v>9765</v>
      </c>
      <c r="K73" s="16" cm="1">
        <f t="array" ref="K73">F73-G73</f>
        <v>0</v>
      </c>
      <c r="L73" s="16" cm="1">
        <f t="array" ref="L73">F73-H73</f>
        <v>0</v>
      </c>
      <c r="M73" s="12"/>
    </row>
    <row r="74" spans="1:13" ht="20" customHeight="1" x14ac:dyDescent="0.15">
      <c r="A74" s="9" t="s">
        <v>114</v>
      </c>
      <c r="B74" s="13" t="s">
        <v>115</v>
      </c>
      <c r="C74" s="14" t="s">
        <v>116</v>
      </c>
      <c r="D74" s="14" t="s">
        <v>62</v>
      </c>
      <c r="E74" s="14" t="s">
        <v>51</v>
      </c>
      <c r="F74" s="16">
        <v>9803</v>
      </c>
      <c r="G74" s="16">
        <v>9797</v>
      </c>
      <c r="H74" s="16">
        <v>0</v>
      </c>
      <c r="I74" s="16">
        <v>9768</v>
      </c>
      <c r="J74" s="16">
        <v>9772</v>
      </c>
      <c r="K74" s="16" cm="1">
        <f t="array" ref="K74">F74-G74</f>
        <v>6</v>
      </c>
      <c r="L74" s="16" cm="1">
        <f t="array" ref="L74">F74-H74</f>
        <v>9803</v>
      </c>
      <c r="M74" s="12"/>
    </row>
    <row r="75" spans="1:13" ht="20" customHeight="1" x14ac:dyDescent="0.15">
      <c r="A75" s="9" t="s">
        <v>114</v>
      </c>
      <c r="B75" s="13" t="s">
        <v>117</v>
      </c>
      <c r="C75" s="14" t="s">
        <v>118</v>
      </c>
      <c r="D75" s="14" t="s">
        <v>44</v>
      </c>
      <c r="E75" s="14" t="s">
        <v>67</v>
      </c>
      <c r="F75" s="16">
        <v>2934</v>
      </c>
      <c r="G75" s="16">
        <v>2934</v>
      </c>
      <c r="H75" s="16">
        <v>2934</v>
      </c>
      <c r="I75" s="16">
        <v>2934</v>
      </c>
      <c r="J75" s="16">
        <v>2934</v>
      </c>
      <c r="K75" s="16" cm="1">
        <f t="array" ref="K75">F75-G75</f>
        <v>0</v>
      </c>
      <c r="L75" s="16" cm="1">
        <f t="array" ref="L75">F75-H75</f>
        <v>0</v>
      </c>
      <c r="M75" s="12"/>
    </row>
    <row r="76" spans="1:13" ht="20" customHeight="1" x14ac:dyDescent="0.15">
      <c r="A76" s="9" t="s">
        <v>114</v>
      </c>
      <c r="B76" s="24" t="s">
        <v>119</v>
      </c>
      <c r="C76" s="14" t="s">
        <v>120</v>
      </c>
      <c r="D76" s="14" t="s">
        <v>44</v>
      </c>
      <c r="E76" s="14" t="s">
        <v>73</v>
      </c>
      <c r="F76" s="16">
        <v>3831</v>
      </c>
      <c r="G76" s="16">
        <v>3831</v>
      </c>
      <c r="H76" s="16">
        <v>3831</v>
      </c>
      <c r="I76" s="16">
        <v>3831</v>
      </c>
      <c r="J76" s="16">
        <v>3831</v>
      </c>
      <c r="K76" s="16" cm="1">
        <f t="array" ref="K76">F76-G76</f>
        <v>0</v>
      </c>
      <c r="L76" s="16" cm="1">
        <f t="array" ref="L76">F76-H76</f>
        <v>0</v>
      </c>
      <c r="M76" s="12"/>
    </row>
    <row r="77" spans="1:13" ht="20" customHeight="1" x14ac:dyDescent="0.15">
      <c r="A77" s="9" t="s">
        <v>114</v>
      </c>
      <c r="B77" s="13" t="s">
        <v>121</v>
      </c>
      <c r="C77" s="14" t="s">
        <v>122</v>
      </c>
      <c r="D77" s="14" t="s">
        <v>91</v>
      </c>
      <c r="E77" s="14" t="s">
        <v>123</v>
      </c>
      <c r="F77" s="16">
        <v>2879</v>
      </c>
      <c r="G77" s="16">
        <v>2879</v>
      </c>
      <c r="H77" s="14" t="s">
        <v>108</v>
      </c>
      <c r="I77" s="16">
        <v>2879</v>
      </c>
      <c r="J77" s="16">
        <v>2879</v>
      </c>
      <c r="K77" s="16" cm="1">
        <f t="array" ref="K77">F77-G77</f>
        <v>0</v>
      </c>
      <c r="L77" s="11" t="e" cm="1">
        <f t="array" ref="L77">F77-H77</f>
        <v>#VALUE!</v>
      </c>
      <c r="M77" s="12"/>
    </row>
    <row r="78" spans="1:13" ht="20" customHeight="1" x14ac:dyDescent="0.15">
      <c r="A78" s="9" t="s">
        <v>114</v>
      </c>
      <c r="B78" s="13" t="s">
        <v>124</v>
      </c>
      <c r="C78" s="14" t="s">
        <v>125</v>
      </c>
      <c r="D78" s="14" t="s">
        <v>95</v>
      </c>
      <c r="E78" s="14" t="s">
        <v>126</v>
      </c>
      <c r="F78" s="16">
        <v>3886</v>
      </c>
      <c r="G78" s="16">
        <v>3886</v>
      </c>
      <c r="H78" s="14" t="s">
        <v>108</v>
      </c>
      <c r="I78" s="16">
        <v>3886</v>
      </c>
      <c r="J78" s="16">
        <v>3886</v>
      </c>
      <c r="K78" s="16" cm="1">
        <f t="array" ref="K78">F78-G78</f>
        <v>0</v>
      </c>
      <c r="L78" s="11" t="e" cm="1">
        <f t="array" ref="L78">F78-H78</f>
        <v>#VALUE!</v>
      </c>
      <c r="M78" s="12"/>
    </row>
    <row r="79" spans="1:13" ht="20" customHeight="1" x14ac:dyDescent="0.15">
      <c r="A79" s="9" t="s">
        <v>114</v>
      </c>
      <c r="B79" s="13" t="s">
        <v>127</v>
      </c>
      <c r="C79" s="14" t="s">
        <v>128</v>
      </c>
      <c r="D79" s="14" t="s">
        <v>99</v>
      </c>
      <c r="E79" s="14" t="s">
        <v>129</v>
      </c>
      <c r="F79" s="16">
        <v>5879</v>
      </c>
      <c r="G79" s="16">
        <v>5879</v>
      </c>
      <c r="H79" s="14" t="s">
        <v>108</v>
      </c>
      <c r="I79" s="16">
        <v>5934</v>
      </c>
      <c r="J79" s="29" t="s">
        <v>130</v>
      </c>
      <c r="K79" s="16" cm="1">
        <f t="array" ref="K79">F79-G79</f>
        <v>0</v>
      </c>
      <c r="L79" s="11" t="e" cm="1">
        <f t="array" ref="L79">F79-H79</f>
        <v>#VALUE!</v>
      </c>
      <c r="M79" s="12"/>
    </row>
    <row r="80" spans="1:13" ht="20" customHeight="1" x14ac:dyDescent="0.15">
      <c r="A80" s="9" t="s">
        <v>13</v>
      </c>
      <c r="B80" s="10"/>
      <c r="C80" s="11"/>
      <c r="D80" s="11"/>
      <c r="E80" s="11"/>
      <c r="F80" s="11"/>
      <c r="G80" s="11"/>
      <c r="H80" s="27" t="s">
        <v>188</v>
      </c>
      <c r="I80" s="26" t="s">
        <v>189</v>
      </c>
      <c r="J80" s="26" t="s">
        <v>190</v>
      </c>
      <c r="K80" s="11"/>
      <c r="L80" s="11"/>
      <c r="M80" s="12"/>
    </row>
    <row r="81" spans="1:13" ht="20" customHeight="1" x14ac:dyDescent="0.15">
      <c r="A81" s="9" t="s">
        <v>131</v>
      </c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2"/>
    </row>
    <row r="82" spans="1:13" ht="20" customHeight="1" x14ac:dyDescent="0.15">
      <c r="A82" s="9" t="s">
        <v>132</v>
      </c>
      <c r="B82" s="13" t="s">
        <v>133</v>
      </c>
      <c r="C82" s="14" t="s">
        <v>134</v>
      </c>
      <c r="D82" s="14" t="s">
        <v>56</v>
      </c>
      <c r="E82" s="14" t="s">
        <v>51</v>
      </c>
      <c r="F82" s="16">
        <v>9939</v>
      </c>
      <c r="G82" s="16">
        <v>9940</v>
      </c>
      <c r="H82" s="16">
        <v>9938</v>
      </c>
      <c r="I82" s="14" t="s">
        <v>135</v>
      </c>
      <c r="J82" s="14" t="s">
        <v>135</v>
      </c>
      <c r="K82" s="16" cm="1">
        <f t="array" ref="K82">F82-G82</f>
        <v>-1</v>
      </c>
      <c r="L82" s="16" cm="1">
        <f t="array" ref="L82">F82-H82</f>
        <v>1</v>
      </c>
      <c r="M82" s="12"/>
    </row>
    <row r="83" spans="1:13" ht="20" customHeight="1" x14ac:dyDescent="0.15">
      <c r="A83" s="9" t="s">
        <v>132</v>
      </c>
      <c r="B83" s="13" t="s">
        <v>54</v>
      </c>
      <c r="C83" s="14" t="s">
        <v>136</v>
      </c>
      <c r="D83" s="14" t="s">
        <v>50</v>
      </c>
      <c r="E83" s="14" t="s">
        <v>57</v>
      </c>
      <c r="F83" s="16">
        <v>9470</v>
      </c>
      <c r="G83" s="16">
        <v>9470</v>
      </c>
      <c r="H83" s="16">
        <v>9470</v>
      </c>
      <c r="I83" s="14" t="s">
        <v>137</v>
      </c>
      <c r="J83" s="14" t="s">
        <v>137</v>
      </c>
      <c r="K83" s="16" cm="1">
        <f t="array" ref="K83">F83-G83</f>
        <v>0</v>
      </c>
      <c r="L83" s="16" cm="1">
        <f t="array" ref="L83">F83-H83</f>
        <v>0</v>
      </c>
      <c r="M83" s="12"/>
    </row>
    <row r="84" spans="1:13" ht="20" customHeight="1" x14ac:dyDescent="0.15">
      <c r="A84" s="9" t="s">
        <v>132</v>
      </c>
      <c r="B84" s="13" t="s">
        <v>138</v>
      </c>
      <c r="C84" s="14" t="s">
        <v>139</v>
      </c>
      <c r="D84" s="14" t="s">
        <v>62</v>
      </c>
      <c r="E84" s="14" t="s">
        <v>140</v>
      </c>
      <c r="F84" s="16">
        <v>2983</v>
      </c>
      <c r="G84" s="16">
        <v>2992</v>
      </c>
      <c r="H84" s="16">
        <v>0</v>
      </c>
      <c r="I84" s="14" t="s">
        <v>137</v>
      </c>
      <c r="J84" s="14" t="s">
        <v>137</v>
      </c>
      <c r="K84" s="16" cm="1">
        <f t="array" ref="K84">F84-G84</f>
        <v>-9</v>
      </c>
      <c r="L84" s="16" cm="1">
        <f t="array" ref="L84">F84-H84</f>
        <v>2983</v>
      </c>
      <c r="M84" s="12"/>
    </row>
    <row r="85" spans="1:13" ht="20" customHeight="1" x14ac:dyDescent="0.15">
      <c r="A85" s="9" t="s">
        <v>132</v>
      </c>
      <c r="B85" s="13" t="s">
        <v>65</v>
      </c>
      <c r="C85" s="14" t="s">
        <v>141</v>
      </c>
      <c r="D85" s="14" t="s">
        <v>44</v>
      </c>
      <c r="E85" s="14" t="s">
        <v>142</v>
      </c>
      <c r="F85" s="16">
        <v>2838</v>
      </c>
      <c r="G85" s="16">
        <v>2838</v>
      </c>
      <c r="H85" s="16">
        <v>2838</v>
      </c>
      <c r="I85" s="14" t="s">
        <v>137</v>
      </c>
      <c r="J85" s="14" t="s">
        <v>137</v>
      </c>
      <c r="K85" s="16" cm="1">
        <f t="array" ref="K85">F85-G85</f>
        <v>0</v>
      </c>
      <c r="L85" s="16" cm="1">
        <f t="array" ref="L85">F85-H85</f>
        <v>0</v>
      </c>
      <c r="M85" s="12"/>
    </row>
    <row r="86" spans="1:13" ht="20" customHeight="1" x14ac:dyDescent="0.15">
      <c r="A86" s="9" t="s">
        <v>132</v>
      </c>
      <c r="B86" s="13" t="s">
        <v>76</v>
      </c>
      <c r="C86" s="14" t="s">
        <v>143</v>
      </c>
      <c r="D86" s="14" t="s">
        <v>44</v>
      </c>
      <c r="E86" s="14" t="s">
        <v>78</v>
      </c>
      <c r="F86" s="16">
        <v>1888</v>
      </c>
      <c r="G86" s="16">
        <v>1888</v>
      </c>
      <c r="H86" s="16">
        <v>1888</v>
      </c>
      <c r="I86" s="14" t="s">
        <v>137</v>
      </c>
      <c r="J86" s="14" t="s">
        <v>137</v>
      </c>
      <c r="K86" s="16" cm="1">
        <f t="array" ref="K86">F86-G86</f>
        <v>0</v>
      </c>
      <c r="L86" s="16" cm="1">
        <f t="array" ref="L86">F86-H86</f>
        <v>0</v>
      </c>
      <c r="M86" s="12"/>
    </row>
    <row r="87" spans="1:13" ht="20" customHeight="1" x14ac:dyDescent="0.15">
      <c r="A87" s="9" t="s">
        <v>132</v>
      </c>
      <c r="B87" s="13" t="s">
        <v>105</v>
      </c>
      <c r="C87" s="14" t="s">
        <v>144</v>
      </c>
      <c r="D87" s="14" t="s">
        <v>91</v>
      </c>
      <c r="E87" s="14" t="s">
        <v>107</v>
      </c>
      <c r="F87" s="16">
        <v>1887</v>
      </c>
      <c r="G87" s="16">
        <v>1887</v>
      </c>
      <c r="H87" s="14" t="s">
        <v>108</v>
      </c>
      <c r="I87" s="14" t="s">
        <v>137</v>
      </c>
      <c r="J87" s="14" t="s">
        <v>137</v>
      </c>
      <c r="K87" s="16" cm="1">
        <f t="array" ref="K87">F87-G87</f>
        <v>0</v>
      </c>
      <c r="L87" s="11" t="e" cm="1">
        <f t="array" ref="L87">F87-H87</f>
        <v>#VALUE!</v>
      </c>
      <c r="M87" s="12"/>
    </row>
    <row r="88" spans="1:13" ht="20" customHeight="1" x14ac:dyDescent="0.15">
      <c r="A88" s="9" t="s">
        <v>132</v>
      </c>
      <c r="B88" s="13" t="s">
        <v>145</v>
      </c>
      <c r="C88" s="14" t="s">
        <v>146</v>
      </c>
      <c r="D88" s="14" t="s">
        <v>99</v>
      </c>
      <c r="E88" s="14" t="s">
        <v>147</v>
      </c>
      <c r="F88" s="16">
        <v>7583</v>
      </c>
      <c r="G88" s="16">
        <v>7583</v>
      </c>
      <c r="H88" s="14" t="s">
        <v>108</v>
      </c>
      <c r="I88" s="14" t="s">
        <v>137</v>
      </c>
      <c r="J88" s="14" t="s">
        <v>137</v>
      </c>
      <c r="K88" s="16" cm="1">
        <f t="array" ref="K88">F88-G88</f>
        <v>0</v>
      </c>
      <c r="L88" s="11" t="e" cm="1">
        <f t="array" ref="L88">F88-H88</f>
        <v>#VALUE!</v>
      </c>
      <c r="M88" s="12"/>
    </row>
    <row r="89" spans="1:13" ht="20" customHeight="1" x14ac:dyDescent="0.15">
      <c r="A89" s="17"/>
      <c r="B89" s="10"/>
      <c r="C89" s="11"/>
      <c r="D89" s="11"/>
      <c r="E89" s="11"/>
      <c r="F89" s="11"/>
      <c r="G89" s="11"/>
      <c r="H89" s="11"/>
      <c r="I89" s="11"/>
      <c r="J89" s="11"/>
      <c r="K89" s="16" cm="1">
        <f t="array" ref="K89">F89-G89</f>
        <v>0</v>
      </c>
      <c r="L89" s="16" cm="1">
        <f t="array" ref="L89">F89-H89</f>
        <v>0</v>
      </c>
      <c r="M89" s="12"/>
    </row>
    <row r="90" spans="1:13" ht="20" customHeight="1" x14ac:dyDescent="0.15">
      <c r="A90" s="9" t="s">
        <v>148</v>
      </c>
      <c r="B90" s="10"/>
      <c r="C90" s="11"/>
      <c r="D90" s="11"/>
      <c r="E90" s="11"/>
      <c r="F90" s="11"/>
      <c r="G90" s="11"/>
      <c r="H90" s="11"/>
      <c r="I90" s="11"/>
      <c r="J90" s="11"/>
      <c r="K90" s="16" cm="1">
        <f t="array" ref="K90">F90-G90</f>
        <v>0</v>
      </c>
      <c r="L90" s="16" cm="1">
        <f t="array" ref="L90">F90-H90</f>
        <v>0</v>
      </c>
      <c r="M90" s="12"/>
    </row>
    <row r="91" spans="1:13" ht="20" customHeight="1" x14ac:dyDescent="0.15">
      <c r="A91" s="9" t="s">
        <v>149</v>
      </c>
      <c r="B91" s="13" t="s">
        <v>150</v>
      </c>
      <c r="C91" s="11"/>
      <c r="D91" s="14" t="s">
        <v>151</v>
      </c>
      <c r="E91" s="14" t="s">
        <v>152</v>
      </c>
      <c r="F91" s="16">
        <v>19212</v>
      </c>
      <c r="G91" s="16">
        <v>19203</v>
      </c>
      <c r="H91" s="16">
        <v>19132</v>
      </c>
      <c r="I91" s="28">
        <v>19132</v>
      </c>
      <c r="J91" s="28">
        <v>19079</v>
      </c>
      <c r="K91" s="16" cm="1">
        <f t="array" ref="K91">F91-G91</f>
        <v>9</v>
      </c>
      <c r="L91" s="16" cm="1">
        <f t="array" ref="L91">F91-H91</f>
        <v>80</v>
      </c>
      <c r="M91" s="12">
        <f>I91-J91</f>
        <v>53</v>
      </c>
    </row>
    <row r="92" spans="1:13" ht="20" customHeight="1" x14ac:dyDescent="0.15">
      <c r="A92" s="9" t="s">
        <v>153</v>
      </c>
      <c r="B92" s="13" t="s">
        <v>154</v>
      </c>
      <c r="C92" s="11"/>
      <c r="D92" s="14" t="s">
        <v>155</v>
      </c>
      <c r="E92" s="14" t="s">
        <v>156</v>
      </c>
      <c r="F92" s="16">
        <v>18689</v>
      </c>
      <c r="G92" s="16">
        <v>18680</v>
      </c>
      <c r="H92" s="16">
        <v>18594</v>
      </c>
      <c r="I92" s="28">
        <v>18594</v>
      </c>
      <c r="J92" s="28">
        <v>18545</v>
      </c>
      <c r="K92" s="16" cm="1">
        <f t="array" ref="K92">F92-G92</f>
        <v>9</v>
      </c>
      <c r="L92" s="16" cm="1">
        <f t="array" ref="L92">F92-H92</f>
        <v>95</v>
      </c>
      <c r="M92" s="12">
        <f t="shared" ref="M92:M105" si="0">I92-J92</f>
        <v>49</v>
      </c>
    </row>
    <row r="93" spans="1:13" ht="20" customHeight="1" x14ac:dyDescent="0.15">
      <c r="A93" s="9" t="s">
        <v>157</v>
      </c>
      <c r="B93" s="24" t="s">
        <v>158</v>
      </c>
      <c r="C93" s="11"/>
      <c r="D93" s="14" t="s">
        <v>155</v>
      </c>
      <c r="E93" s="14" t="s">
        <v>159</v>
      </c>
      <c r="F93" s="16">
        <v>18573</v>
      </c>
      <c r="G93" s="16">
        <v>18563</v>
      </c>
      <c r="H93" s="16">
        <v>18466</v>
      </c>
      <c r="I93" s="28">
        <v>18466</v>
      </c>
      <c r="J93" s="28">
        <v>18418</v>
      </c>
      <c r="K93" s="16" cm="1">
        <f t="array" ref="K93">F93-G93</f>
        <v>10</v>
      </c>
      <c r="L93" s="16" cm="1">
        <f t="array" ref="L93">F93-H93</f>
        <v>107</v>
      </c>
      <c r="M93" s="12">
        <f t="shared" si="0"/>
        <v>48</v>
      </c>
    </row>
    <row r="94" spans="1:13" ht="20" customHeight="1" x14ac:dyDescent="0.15">
      <c r="A94" s="9" t="s">
        <v>160</v>
      </c>
      <c r="B94" s="13" t="s">
        <v>161</v>
      </c>
      <c r="C94" s="11"/>
      <c r="D94" s="14" t="s">
        <v>155</v>
      </c>
      <c r="E94" s="14" t="s">
        <v>162</v>
      </c>
      <c r="F94" s="16">
        <v>923</v>
      </c>
      <c r="G94" s="16">
        <v>922</v>
      </c>
      <c r="H94" s="14" t="s">
        <v>163</v>
      </c>
      <c r="I94" s="28">
        <v>920</v>
      </c>
      <c r="J94" s="28">
        <v>942</v>
      </c>
      <c r="K94" s="16" cm="1">
        <f t="array" ref="K94">F94-G94</f>
        <v>1</v>
      </c>
      <c r="L94" s="11" t="e" cm="1">
        <f t="array" ref="L94">F94-H94</f>
        <v>#VALUE!</v>
      </c>
      <c r="M94" s="12">
        <f t="shared" si="0"/>
        <v>-22</v>
      </c>
    </row>
    <row r="95" spans="1:13" ht="20" customHeight="1" x14ac:dyDescent="0.15">
      <c r="A95" s="17"/>
      <c r="B95" s="13" t="s">
        <v>164</v>
      </c>
      <c r="C95" s="11"/>
      <c r="D95" s="14" t="s">
        <v>155</v>
      </c>
      <c r="E95" s="14" t="s">
        <v>165</v>
      </c>
      <c r="F95" s="16">
        <v>312</v>
      </c>
      <c r="G95" s="16">
        <v>312</v>
      </c>
      <c r="H95" s="14" t="s">
        <v>166</v>
      </c>
      <c r="I95" s="28">
        <v>312</v>
      </c>
      <c r="J95" s="28">
        <v>314</v>
      </c>
      <c r="K95" s="16" cm="1">
        <f t="array" ref="K95">F95-G95</f>
        <v>0</v>
      </c>
      <c r="L95" s="11" t="e" cm="1">
        <f t="array" ref="L95">F95-H95</f>
        <v>#VALUE!</v>
      </c>
      <c r="M95" s="12">
        <f t="shared" si="0"/>
        <v>-2</v>
      </c>
    </row>
    <row r="96" spans="1:13" ht="20" customHeight="1" x14ac:dyDescent="0.15">
      <c r="A96" s="9" t="s">
        <v>167</v>
      </c>
      <c r="B96" s="13" t="s">
        <v>168</v>
      </c>
      <c r="C96" s="11"/>
      <c r="D96" s="14" t="s">
        <v>155</v>
      </c>
      <c r="E96" s="14" t="s">
        <v>165</v>
      </c>
      <c r="F96" s="16">
        <v>535</v>
      </c>
      <c r="G96" s="16">
        <v>534</v>
      </c>
      <c r="H96" s="14" t="s">
        <v>166</v>
      </c>
      <c r="I96" s="28">
        <v>533</v>
      </c>
      <c r="J96" s="28">
        <v>545</v>
      </c>
      <c r="K96" s="16" cm="1">
        <f t="array" ref="K96">F96-G96</f>
        <v>1</v>
      </c>
      <c r="L96" s="11" t="e" cm="1">
        <f t="array" ref="L96">F96-H96</f>
        <v>#VALUE!</v>
      </c>
      <c r="M96" s="12">
        <f t="shared" si="0"/>
        <v>-12</v>
      </c>
    </row>
    <row r="97" spans="1:13" ht="20" customHeight="1" x14ac:dyDescent="0.15">
      <c r="A97" s="17"/>
      <c r="B97" s="13" t="s">
        <v>169</v>
      </c>
      <c r="C97" s="11"/>
      <c r="D97" s="14" t="s">
        <v>155</v>
      </c>
      <c r="E97" s="14" t="s">
        <v>162</v>
      </c>
      <c r="F97" s="16">
        <v>17458</v>
      </c>
      <c r="G97" s="16">
        <v>17449</v>
      </c>
      <c r="H97" s="14" t="s">
        <v>166</v>
      </c>
      <c r="I97" s="28">
        <v>17357</v>
      </c>
      <c r="J97" s="28">
        <v>17192</v>
      </c>
      <c r="K97" s="16" cm="1">
        <f t="array" ref="K97">F97-G97</f>
        <v>9</v>
      </c>
      <c r="L97" s="11" t="e" cm="1">
        <f t="array" ref="L97">F97-H97</f>
        <v>#VALUE!</v>
      </c>
      <c r="M97" s="12">
        <f t="shared" si="0"/>
        <v>165</v>
      </c>
    </row>
    <row r="98" spans="1:13" ht="20" customHeight="1" x14ac:dyDescent="0.15">
      <c r="A98" s="17"/>
      <c r="B98" s="13" t="s">
        <v>170</v>
      </c>
      <c r="C98" s="11"/>
      <c r="D98" s="14" t="s">
        <v>155</v>
      </c>
      <c r="E98" s="14" t="s">
        <v>171</v>
      </c>
      <c r="F98" s="16">
        <v>2459</v>
      </c>
      <c r="G98" s="16">
        <v>2460</v>
      </c>
      <c r="H98" s="14" t="s">
        <v>166</v>
      </c>
      <c r="I98" s="28">
        <v>2452</v>
      </c>
      <c r="J98" s="28">
        <v>2436</v>
      </c>
      <c r="K98" s="16" cm="1">
        <f t="array" ref="K98">F98-G98</f>
        <v>-1</v>
      </c>
      <c r="L98" s="11" t="e" cm="1">
        <f t="array" ref="L98">F98-H98</f>
        <v>#VALUE!</v>
      </c>
      <c r="M98" s="12">
        <f t="shared" si="0"/>
        <v>16</v>
      </c>
    </row>
    <row r="99" spans="1:13" ht="20" customHeight="1" x14ac:dyDescent="0.15">
      <c r="A99" s="17"/>
      <c r="B99" s="13" t="s">
        <v>172</v>
      </c>
      <c r="C99" s="11"/>
      <c r="D99" s="14" t="s">
        <v>155</v>
      </c>
      <c r="E99" s="14" t="s">
        <v>171</v>
      </c>
      <c r="F99" s="16">
        <v>10745</v>
      </c>
      <c r="G99" s="16">
        <v>10747</v>
      </c>
      <c r="H99" s="14" t="s">
        <v>166</v>
      </c>
      <c r="I99" s="28">
        <v>10746</v>
      </c>
      <c r="J99" s="28">
        <v>10672</v>
      </c>
      <c r="K99" s="16" cm="1">
        <f t="array" ref="K99">F99-G99</f>
        <v>-2</v>
      </c>
      <c r="L99" s="11" t="e" cm="1">
        <f t="array" ref="L99">F99-H99</f>
        <v>#VALUE!</v>
      </c>
      <c r="M99" s="12">
        <f t="shared" si="0"/>
        <v>74</v>
      </c>
    </row>
    <row r="100" spans="1:13" ht="20" customHeight="1" x14ac:dyDescent="0.15">
      <c r="A100" s="17"/>
      <c r="B100" s="13" t="s">
        <v>173</v>
      </c>
      <c r="C100" s="11"/>
      <c r="D100" s="14" t="s">
        <v>174</v>
      </c>
      <c r="E100" s="14" t="s">
        <v>175</v>
      </c>
      <c r="F100" s="16">
        <v>9188</v>
      </c>
      <c r="G100" s="16">
        <v>9190</v>
      </c>
      <c r="H100" s="14" t="s">
        <v>166</v>
      </c>
      <c r="I100" s="28">
        <v>9165</v>
      </c>
      <c r="J100" s="28">
        <v>9113</v>
      </c>
      <c r="K100" s="16" cm="1">
        <f t="array" ref="K100">F100-G100</f>
        <v>-2</v>
      </c>
      <c r="L100" s="11" t="e" cm="1">
        <f t="array" ref="L100">F100-H100</f>
        <v>#VALUE!</v>
      </c>
      <c r="M100" s="12">
        <f t="shared" si="0"/>
        <v>52</v>
      </c>
    </row>
    <row r="101" spans="1:13" ht="20" customHeight="1" x14ac:dyDescent="0.15">
      <c r="A101" s="17"/>
      <c r="B101" s="13" t="s">
        <v>176</v>
      </c>
      <c r="C101" s="11"/>
      <c r="D101" s="14" t="s">
        <v>155</v>
      </c>
      <c r="E101" s="14" t="s">
        <v>177</v>
      </c>
      <c r="F101" s="16">
        <v>7480</v>
      </c>
      <c r="G101" s="16">
        <v>7485</v>
      </c>
      <c r="H101" s="14" t="s">
        <v>166</v>
      </c>
      <c r="I101" s="28">
        <v>7462</v>
      </c>
      <c r="J101" s="28">
        <v>7411</v>
      </c>
      <c r="K101" s="16" cm="1">
        <f t="array" ref="K101">F101-G101</f>
        <v>-5</v>
      </c>
      <c r="L101" s="11" t="e" cm="1">
        <f t="array" ref="L101">F101-H101</f>
        <v>#VALUE!</v>
      </c>
      <c r="M101" s="12">
        <f t="shared" si="0"/>
        <v>51</v>
      </c>
    </row>
    <row r="102" spans="1:13" ht="20" customHeight="1" x14ac:dyDescent="0.15">
      <c r="A102" s="17"/>
      <c r="B102" s="13" t="s">
        <v>178</v>
      </c>
      <c r="C102" s="11"/>
      <c r="D102" s="14" t="s">
        <v>155</v>
      </c>
      <c r="E102" s="14" t="s">
        <v>177</v>
      </c>
      <c r="F102" s="16">
        <v>1407</v>
      </c>
      <c r="G102" s="16">
        <v>1404</v>
      </c>
      <c r="H102" s="14" t="s">
        <v>166</v>
      </c>
      <c r="I102" s="28">
        <v>1407</v>
      </c>
      <c r="J102" s="28">
        <v>1403</v>
      </c>
      <c r="K102" s="16" cm="1">
        <f t="array" ref="K102">F102-G102</f>
        <v>3</v>
      </c>
      <c r="L102" s="11" t="e" cm="1">
        <f t="array" ref="L102">F102-H102</f>
        <v>#VALUE!</v>
      </c>
      <c r="M102" s="12">
        <f t="shared" si="0"/>
        <v>4</v>
      </c>
    </row>
    <row r="103" spans="1:13" ht="20" customHeight="1" x14ac:dyDescent="0.15">
      <c r="A103" s="17"/>
      <c r="B103" s="13" t="s">
        <v>179</v>
      </c>
      <c r="C103" s="11"/>
      <c r="D103" s="14" t="s">
        <v>155</v>
      </c>
      <c r="E103" s="14" t="s">
        <v>177</v>
      </c>
      <c r="F103" s="16">
        <v>266</v>
      </c>
      <c r="G103" s="16">
        <v>266</v>
      </c>
      <c r="H103" s="14" t="s">
        <v>166</v>
      </c>
      <c r="I103" s="28">
        <v>261</v>
      </c>
      <c r="J103" s="28">
        <v>263</v>
      </c>
      <c r="K103" s="16" cm="1">
        <f t="array" ref="K103">F103-G103</f>
        <v>0</v>
      </c>
      <c r="L103" s="11" t="e" cm="1">
        <f t="array" ref="L103">F103-H103</f>
        <v>#VALUE!</v>
      </c>
      <c r="M103" s="12">
        <f t="shared" si="0"/>
        <v>-2</v>
      </c>
    </row>
    <row r="104" spans="1:13" ht="20" customHeight="1" x14ac:dyDescent="0.15">
      <c r="A104" s="17"/>
      <c r="B104" s="13" t="s">
        <v>180</v>
      </c>
      <c r="C104" s="11"/>
      <c r="D104" s="14" t="s">
        <v>155</v>
      </c>
      <c r="E104" s="14" t="s">
        <v>177</v>
      </c>
      <c r="F104" s="16">
        <v>6</v>
      </c>
      <c r="G104" s="16">
        <v>6</v>
      </c>
      <c r="H104" s="14" t="s">
        <v>166</v>
      </c>
      <c r="I104" s="28">
        <v>6</v>
      </c>
      <c r="J104" s="28">
        <v>7</v>
      </c>
      <c r="K104" s="16" cm="1">
        <f t="array" ref="K104">F104-G104</f>
        <v>0</v>
      </c>
      <c r="L104" s="11" t="e" cm="1">
        <f t="array" ref="L104">F104-H104</f>
        <v>#VALUE!</v>
      </c>
      <c r="M104" s="12">
        <f t="shared" si="0"/>
        <v>-1</v>
      </c>
    </row>
    <row r="105" spans="1:13" ht="20" customHeight="1" x14ac:dyDescent="0.15">
      <c r="A105" s="18"/>
      <c r="B105" s="19" t="s">
        <v>181</v>
      </c>
      <c r="C105" s="20"/>
      <c r="D105" s="21" t="s">
        <v>174</v>
      </c>
      <c r="E105" s="21" t="s">
        <v>175</v>
      </c>
      <c r="F105" s="22">
        <v>1470</v>
      </c>
      <c r="G105" s="22">
        <v>1470</v>
      </c>
      <c r="H105" s="21" t="s">
        <v>166</v>
      </c>
      <c r="I105" s="30">
        <v>1466</v>
      </c>
      <c r="J105" s="30">
        <v>1463</v>
      </c>
      <c r="K105" s="22" cm="1">
        <f t="array" ref="K105">F105-G105</f>
        <v>0</v>
      </c>
      <c r="L105" s="20" t="e" cm="1">
        <f t="array" ref="L105">F105-H105</f>
        <v>#VALUE!</v>
      </c>
      <c r="M105" s="12">
        <f t="shared" si="0"/>
        <v>3</v>
      </c>
    </row>
  </sheetData>
  <mergeCells count="1">
    <mergeCell ref="A1:M1"/>
  </mergeCells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validation_counts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Bernd  JAGLA</cp:lastModifiedBy>
  <dcterms:modified xsi:type="dcterms:W3CDTF">2026-07-11T07:25:04Z</dcterms:modified>
</cp:coreProperties>
</file>